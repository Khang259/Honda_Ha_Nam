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Danh sách lỗi" sheetId="2" state="visible" r:id="rId4"/>
    <sheet name="Kiểm tra sau sửa" sheetId="3" state="visible" r:id="rId5"/>
    <sheet name="Số liệu chia camera" sheetId="4" state="visible" r:id="rId6"/>
  </sheets>
  <definedNames>
    <definedName function="false" hidden="true" localSheetId="1" name="_xlnm._FilterDatabase" vbProcedure="false">'Danh sách lỗi'!$A$1:$J$27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<sst xmlns="http://schemas.openxmlformats.org/spreadsheetml/2006/main" count="280" uniqueCount="178">
  <si>
    <t xml:space="preserve">Danh sách lỗi cluster control - nhánh update_load_balancing (commit 021501d)</t>
  </si>
  <si>
    <t xml:space="preserve">Tiến độ sửa theo mức ưu tiên</t>
  </si>
  <si>
    <t xml:space="preserve">Ưu tiên</t>
  </si>
  <si>
    <t xml:space="preserve">Tổng</t>
  </si>
  <si>
    <t xml:space="preserve">Chưa làm</t>
  </si>
  <si>
    <t xml:space="preserve">Đang làm</t>
  </si>
  <si>
    <t xml:space="preserve">Đã sửa</t>
  </si>
  <si>
    <t xml:space="preserve">Đã kiểm tra</t>
  </si>
  <si>
    <t xml:space="preserve">% hoàn thành</t>
  </si>
  <si>
    <t xml:space="preserve">P0</t>
  </si>
  <si>
    <t xml:space="preserve">P1</t>
  </si>
  <si>
    <t xml:space="preserve">P2</t>
  </si>
  <si>
    <t xml:space="preserve">P3</t>
  </si>
  <si>
    <t xml:space="preserve">Kiểm thử</t>
  </si>
  <si>
    <t xml:space="preserve">Số kịch bản</t>
  </si>
  <si>
    <t xml:space="preserve">Đạt</t>
  </si>
  <si>
    <t xml:space="preserve">Không đạt</t>
  </si>
  <si>
    <t xml:space="preserve">Cách dùng</t>
  </si>
  <si>
    <t xml:space="preserve">Ô nền vàng là ô bạn cập nhật: Trạng thái, Người phụ trách, Ghi chú (trang 'Danh sách lỗi'); Kết quả thực tế, Đạt? (trang 'Kiểm tra sau sửa').</t>
  </si>
  <si>
    <t xml:space="preserve">Ví dụ một dòng đã cập nhật: Trạng thái = 'Đang làm', Người phụ trách = 'Khang', Ghi chú = 'Đã tách _alive, đang test T1'.</t>
  </si>
  <si>
    <t xml:space="preserve">Các bảng trong trang này tự tính lại theo Trạng thái và Đạt?. Chữ xanh dương là số nhập tay; chữ đen là công thức.</t>
  </si>
  <si>
    <t xml:space="preserve">P0: sai hoặc không failover được; P1: cao; P2: môi trường/vận hành; P3: nhỏ. 'Cần đo trên máy thật' nghĩa là suy luận từ code, chưa đo.</t>
  </si>
  <si>
    <t xml:space="preserve">ID</t>
  </si>
  <si>
    <t xml:space="preserve">Nhóm</t>
  </si>
  <si>
    <t xml:space="preserve">Vị trí (file:dòng)</t>
  </si>
  <si>
    <t xml:space="preserve">Lỗi</t>
  </si>
  <si>
    <t xml:space="preserve">Hướng sửa</t>
  </si>
  <si>
    <t xml:space="preserve">Mức xác minh</t>
  </si>
  <si>
    <t xml:space="preserve">Trạng thái</t>
  </si>
  <si>
    <t xml:space="preserve">Người phụ trách</t>
  </si>
  <si>
    <t xml:space="preserve">Ghi chú</t>
  </si>
  <si>
    <t xml:space="preserve">Pairing/Dispatch</t>
  </si>
  <si>
    <t xml:space="preserve">orchestrator.py:61, :144-155; publisher.py:23; dispatcher.py:116; mongo_pool.py:55-73</t>
  </si>
  <si>
    <t xml:space="preserve">Sau STOP rồi RUN, publisher/consumer/dispatcher thoát vĩnh viễn (loop là while is_running(); resume() chỉ đổi cờ, không tạo lại task). Dispatch chết nhưng ack vẫn báo thành công.</t>
  </si>
  <si>
    <t xml:space="preserve">Tách _alive (vòng đời) khỏi _paused; khi paused thì sleep + continue, không thoát loop.</t>
  </si>
  <si>
    <t xml:space="preserve">Đã xác minh (mô phỏng)</t>
  </si>
  <si>
    <t xml:space="preserve">state_manager.py:61-62, :74-75</t>
  </si>
  <si>
    <t xml:space="preserve">process_starts tính current_time - data['time'] &gt; 30 trên trạng thái cũ giữ qua STOP, nên ngay khi RUN sẽ gửi lệnh từ dữ liệu cũ. Lộ ra sau khi sửa lỗi 1.</t>
  </si>
  <si>
    <t xml:space="preserve">Reset state các điểm khi RUN; thêm thời gian chờ ổn định trước khi dispatch.</t>
  </si>
  <si>
    <t xml:space="preserve">Cần đo trên máy thật</t>
  </si>
  <si>
    <t xml:space="preserve">orchestrator.py:64-65</t>
  </si>
  <si>
    <t xml:space="preserve">resume() gọi .clear() trên _disabled_nodes/_disabled_areas nên RUN toàn cluster (hoặc worker restart) mở lại khu vực đang khóa tay. Route zone-stop chỉ chạy local trên worker nhận request.</t>
  </si>
  <si>
    <t xml:space="preserve">Không clear khi RUN từ cluster; lưu trạng thái khóa vào Mongo dùng chung.</t>
  </si>
  <si>
    <t xml:space="preserve">Đã xác minh (đọc code)</t>
  </si>
  <si>
    <t xml:space="preserve">Failover</t>
  </si>
  <si>
    <t xml:space="preserve">runtime_service.py:78, :125; worker_manager.py; camera_processor.py:57-59</t>
  </si>
  <si>
    <t xml:space="preserve">Chặn failover: rebalance chỉ đổi assigned_camera_ids trong DB; CameraManager dựng một lần và dùng danh sách theo chỉ số.</t>
  </si>
  <si>
    <t xml:space="preserve">Thêm add_camera/remove_camera lúc chạy; đổi enabled và camera_zones sang dict theo camera_id; camera mới theo desired_state hiện tại.</t>
  </si>
  <si>
    <t xml:space="preserve">camera_assignment_service.py:20</t>
  </si>
  <si>
    <t xml:space="preserve">Chia đều theo khối liên tiếp: w1 sập thì 41/78 camera đổi chủ (chỉ cần 20).</t>
  </si>
  <si>
    <t xml:space="preserve">Giữ chủ cũ, chỉ chia camera mồ côi cho máy ít tải nhất; khi máy quay lại, lấy bớt từ máy tải cao nhất.</t>
  </si>
  <si>
    <t xml:space="preserve">worker_registry_service.py:32, :78, :116; mongo_start_event_client.py:125</t>
  </si>
  <si>
    <t xml:space="preserve">Heartbeat, mốc cắt và lease claim_until dùng datetime.utcnow() của từng máy; lệch giờ giữa 4 máy gây nhận định sai.</t>
  </si>
  <si>
    <t xml:space="preserve">Dùng giờ server ($$NOW trong update pipeline và $expr); đồng bộ giờ Windows bằng w32tm.</t>
  </si>
  <si>
    <t xml:space="preserve">worker_registry_service.py:130 (return []); camera_assignment_service.py:238 (validate_token)</t>
  </si>
  <si>
    <t xml:space="preserve">Lỗi Mongo bị hiểu là 'không có worker' hoặc 'đã mất camera'. Khi nối runtime vào rebalance sẽ dừng decoder hàng loạt lúc bầu cử primary.</t>
  </si>
  <si>
    <t xml:space="preserve">Ném lỗi hoặc trả 'unknown'; caller bỏ qua lần rebalance đó.</t>
  </si>
  <si>
    <t xml:space="preserve">worker_manager.py:92</t>
  </si>
  <si>
    <t xml:space="preserve">Chỉ so sánh số lượng worker: thay worker hoặc thêm camera mới trong DB không kích hoạt rebalance; không có độ trễ chống nhiễu.</t>
  </si>
  <si>
    <t xml:space="preserve">So sánh tập worker_id và tập camera_id; chỉ coi worker chết sau N lần thiếu heartbeat liên tiếp.</t>
  </si>
  <si>
    <t xml:space="preserve">Cluster control</t>
  </si>
  <si>
    <t xml:space="preserve">cluster_control_listener.py:170 (_watch_loop), :116, :149</t>
  </si>
  <si>
    <t xml:space="preserve">Nếu stream kết thúc không ném exception, listener chết im lặng; lệnh lỗi ở chế độ stream không được retry; không có vòng đối soát định kỳ.</t>
  </si>
  <si>
    <t xml:space="preserve">Luôn chạy vòng đối soát vài giây/lần (stream chỉ để giảm độ trễ); giám sát và tự khởi động lại task.</t>
  </si>
  <si>
    <t xml:space="preserve">cluster_control_listener.py:48, :138, :161, :146</t>
  </si>
  <si>
    <t xml:space="preserve">token &gt; last_applied làm lệnh bị bỏ qua nếu DB bị reset (token về 1); log chỉ ở mức DEBUG.</t>
  </si>
  <si>
    <t xml:space="preserve">Dùng != hoặc thêm epoch; log WARNING khi token nhỏ hơn.</t>
  </si>
  <si>
    <t xml:space="preserve">cameras.py:279; inference_engine_pool.py:33, :42, :51</t>
  </si>
  <si>
    <t xml:space="preserve">expected_workers: 4 cứng; except Exception: pass khiến ack vẫn ghi dù engine lỗi.</t>
  </si>
  <si>
    <t xml:space="preserve">Lấy số worker từ registry; ack kèm số camera sống, trạng thái engine, số task còn chạy.</t>
  </si>
  <si>
    <t xml:space="preserve">API/Bảo mật</t>
  </si>
  <si>
    <t xml:space="preserve">runtime.py:19; settings.py:12</t>
  </si>
  <si>
    <t xml:space="preserve">settings.AREA_NAME bị comment nên /runtime/reload không có ?area= sẽ lỗi AttributeError.</t>
  </si>
  <si>
    <t xml:space="preserve">Khôi phục trường hoặc bỏ tham chiếu.</t>
  </si>
  <si>
    <t xml:space="preserve">Đã xác minh (chạy test)</t>
  </si>
  <si>
    <t xml:space="preserve">app_factory.py:40-41; /engine-control/*</t>
  </si>
  <si>
    <t xml:space="preserve">Không có xác thực, CORS '*'. Máy nào trong LAN cũng dừng được cả cluster.</t>
  </si>
  <si>
    <t xml:space="preserve">API key hoặc allow-list IP; yêu cầu body JSON để trình duyệt buộc preflight.</t>
  </si>
  <si>
    <t xml:space="preserve">Camera/Decoder</t>
  </si>
  <si>
    <t xml:space="preserve">camera_processor.py:66-73; gpu_video_decoder.py:67, :78-81</t>
  </si>
  <si>
    <t xml:space="preserve">RUN khởi động ~78 tiến trình ffmpeg trong cỡ 1 giây; ffmpeg không có timeout RTSP; kill() kèm wait(2) có thể bỏ sót tiến trình.</t>
  </si>
  <si>
    <t xml:space="preserve">Thêm jitter theo worker và camera; thêm timeout RTSP (-timeout hoặc -stimeout tùy bản ffmpeg); kiểm tra tasklist sau nhiều chu kỳ.</t>
  </si>
  <si>
    <t xml:space="preserve">mongo_start_event_client.py (upsert_ready)</t>
  </si>
  <si>
    <t xml:space="preserve">Fencing token chỉ được lưu và so sánh trong heartbeat; không nơi nào từ chối thao tác của worker cũ.</t>
  </si>
  <si>
    <t xml:space="preserve">Kiểm token khi publish hoặc claim start event.</t>
  </si>
  <si>
    <t xml:space="preserve">Mongo/Hạ tầng</t>
  </si>
  <si>
    <t xml:space="preserve">Cấu hình MongoDB / MongoDB_URL</t>
  </si>
  <si>
    <t xml:space="preserve">4 thành viên có phiếu thì đa số là 3, chỉ chịu được 1 máy hỏng; chia mạng 2-2 mất primary. URL hiện chỉ là localhost.</t>
  </si>
  <si>
    <t xml:space="preserve">Số phiếu lẻ (3 phiếu + 1 votes:0, hoặc arbiter); URL liệt kê đủ 4 host, replicaSet=, hostname phân giải được từ cả 4 máy.</t>
  </si>
  <si>
    <t xml:space="preserve">Vận hành Windows</t>
  </si>
  <si>
    <t xml:space="preserve">main.py:49-53</t>
  </si>
  <si>
    <t xml:space="preserve">Với log_level=info, access log ghi ra console đồng bộ; click vào console cổ điển (QuickEdit) có thể treo event loop và heartbeat.</t>
  </si>
  <si>
    <t xml:space="preserve">AI_LOG_LEVEL=warning hoặc access_log=False; tắt QuickEdit.</t>
  </si>
  <si>
    <t xml:space="preserve">setup_log.py:9-27</t>
  </si>
  <si>
    <t xml:space="preserve">Ngày file log cố định lúc khởi động, chỉ dọn lúc start, mức DEBUG; 4 worker chung thư mục thì lẫn log.</t>
  </si>
  <si>
    <t xml:space="preserve">Đưa WORKER_ID vào đường dẫn log; dùng rotating handler.</t>
  </si>
  <si>
    <t xml:space="preserve">database.py:21</t>
  </si>
  <si>
    <t xml:space="preserve">Ghi MongoDB URL (có thể kèm mật khẩu) vào log.</t>
  </si>
  <si>
    <t xml:space="preserve">Che thông tin đăng nhập trước khi log.</t>
  </si>
  <si>
    <t xml:space="preserve">Triển khai; requirements.txt</t>
  </si>
  <si>
    <t xml:space="preserve">Chạy từ terminal không tự khởi động lại; requirements.txt trỏ D:/TensorRT-10.15.1.29/...; .engine có thể không chạy trên GPU hoặc phiên bản TensorRT khác.</t>
  </si>
  <si>
    <t xml:space="preserve">Watchdog (NSSM hoặc Task Scheduler); 4 máy cùng GPU/driver/TensorRT hoặc build engine riêng mỗi máy.</t>
  </si>
  <si>
    <t xml:space="preserve">config.py:18</t>
  </si>
  <si>
    <t xml:space="preserve">Mỗi máy còn lại xử lý 26 camera sau khi sập (+30-37%), trong khi batch là 24 với hold_full_batch.</t>
  </si>
  <si>
    <t xml:space="preserve">Kiểm tra tải GPU, NVDEC và số kết nối RTSP ở mức 26 camera/máy.</t>
  </si>
  <si>
    <t xml:space="preserve">Khác</t>
  </si>
  <si>
    <t xml:space="preserve">mongo_cluster_control_client.py:42-43, :138-139; registry</t>
  </si>
  <si>
    <t xml:space="preserve">datetime.utcnow() (deprecated từ Python 3.12) cộng tay 7 giờ.</t>
  </si>
  <si>
    <t xml:space="preserve">Dùng datetime.now(timezone.utc); định dạng giờ VN ở lớp hiển thị.</t>
  </si>
  <si>
    <t xml:space="preserve">mongo_cluster_control_client.py:59</t>
  </si>
  <si>
    <t xml:space="preserve">return_document=True nên là ReturnDocument.AFTER.</t>
  </si>
  <si>
    <t xml:space="preserve">Đổi sang ReturnDocument.AFTER.</t>
  </si>
  <si>
    <t xml:space="preserve">Collection acks (tài liệu thiết kế)</t>
  </si>
  <si>
    <t xml:space="preserve">Index duy nhất (worker_id, token) có trong tài liệu nhưng không có trong code.</t>
  </si>
  <si>
    <t xml:space="preserve">Tạo index khi khởi động (ensure_indexes).</t>
  </si>
  <si>
    <t xml:space="preserve">mongo_start_event_client.py:25</t>
  </si>
  <si>
    <t xml:space="preserve">Collection start_events_test đang dùng cho production.</t>
  </si>
  <si>
    <t xml:space="preserve">Đổi tên collection qua cấu hình.</t>
  </si>
  <si>
    <t xml:space="preserve">RuntimeService.stop()</t>
  </si>
  <si>
    <t xml:space="preserve">Không đặt lại api_state.pairing_orchestrator khi dừng.</t>
  </si>
  <si>
    <t xml:space="preserve">Set None trong stop().</t>
  </si>
  <si>
    <t xml:space="preserve">Mã</t>
  </si>
  <si>
    <t xml:space="preserve">Lỗi liên quan</t>
  </si>
  <si>
    <t xml:space="preserve">Kịch bản</t>
  </si>
  <si>
    <t xml:space="preserve">Kết quả mong đợi</t>
  </si>
  <si>
    <t xml:space="preserve">Kết quả thực tế</t>
  </si>
  <si>
    <t xml:space="preserve">Đạt?</t>
  </si>
  <si>
    <t xml:space="preserve">T1</t>
  </si>
  <si>
    <t xml:space="preserve">1, 2, 3</t>
  </si>
  <si>
    <t xml:space="preserve">stop-all, đợi 5 giây, start-all.</t>
  </si>
  <si>
    <t xml:space="preserve">Có start event mới trong Mongo (start_events_test); khu vực đã khóa vẫn khóa.</t>
  </si>
  <si>
    <t xml:space="preserve">Chưa chạy</t>
  </si>
  <si>
    <t xml:space="preserve">T2</t>
  </si>
  <si>
    <t xml:space="preserve">4, 5, 7, 8</t>
  </si>
  <si>
    <t xml:space="preserve">taskkill /F một worker cùng mongod của nó; đo thời gian phát hiện, thời gian camera chạy lại trên máy khác.</t>
  </si>
  <si>
    <t xml:space="preserve">Camera mồ côi (19-20) chạy lại trên máy còn lại; số camera đổi chủ bằng số camera mồ côi.</t>
  </si>
  <si>
    <t xml:space="preserve">T3</t>
  </si>
  <si>
    <t xml:space="preserve">7</t>
  </si>
  <si>
    <t xml:space="preserve">Kill mongod đang là primary.</t>
  </si>
  <si>
    <t xml:space="preserve">Không camera nào bị release; ghi lại thời gian bầu cử.</t>
  </si>
  <si>
    <t xml:space="preserve">T4</t>
  </si>
  <si>
    <t xml:space="preserve">6</t>
  </si>
  <si>
    <t xml:space="preserve">Mô phỏng lệch giờ +40 giây trên một worker (sửa tạm hàm lấy giờ).</t>
  </si>
  <si>
    <t xml:space="preserve">Không rebalance sai, không ping-pong camera giữa các worker.</t>
  </si>
  <si>
    <t xml:space="preserve">T5</t>
  </si>
  <si>
    <t xml:space="preserve">10</t>
  </si>
  <si>
    <t xml:space="preserve">Xóa document engine_control_status rồi gửi lệnh mới.</t>
  </si>
  <si>
    <t xml:space="preserve">Lệnh vẫn được tất cả worker áp dụng.</t>
  </si>
  <si>
    <t xml:space="preserve">T6</t>
  </si>
  <si>
    <t xml:space="preserve">4, 5</t>
  </si>
  <si>
    <t xml:space="preserve">Cho worker đã sập quay lại (3 -&gt; 4 máy).</t>
  </si>
  <si>
    <t xml:space="preserve">Số camera di chuyển xấp xỉ mức tối thiểu (~19).</t>
  </si>
  <si>
    <t xml:space="preserve">T7</t>
  </si>
  <si>
    <t xml:space="preserve">9</t>
  </si>
  <si>
    <t xml:space="preserve">Làm change stream đóng hoặc lỗi trên một worker.</t>
  </si>
  <si>
    <t xml:space="preserve">Listener vẫn áp dụng lệnh nhờ vòng đối soát.</t>
  </si>
  <si>
    <t xml:space="preserve">T8</t>
  </si>
  <si>
    <t xml:space="preserve">14</t>
  </si>
  <si>
    <t xml:space="preserve">Lặp STOP/RUN ít nhất 20 lần; theo dõi tasklist | findstr ffmpeg, VRAM, thời gian RUN -&gt; detection đầu tiên.</t>
  </si>
  <si>
    <t xml:space="preserve">Số tiến trình ffmpeg và VRAM không tăng dần; thời gian ổn định.</t>
  </si>
  <si>
    <t xml:space="preserve">T9</t>
  </si>
  <si>
    <t xml:space="preserve">17</t>
  </si>
  <si>
    <t xml:space="preserve">Click vào cửa sổ console của một worker trong 60 giây.</t>
  </si>
  <si>
    <t xml:space="preserve">Heartbeat không dừng; worker không bị coi là chết.</t>
  </si>
  <si>
    <t xml:space="preserve">Số camera đổi chủ khi 1 máy sập (thuật toán hiện tại, 78 camera)</t>
  </si>
  <si>
    <t xml:space="preserve">Tình huống</t>
  </si>
  <si>
    <t xml:space="preserve">Camera mồ côi (tối thiểu phải chuyển)</t>
  </si>
  <si>
    <t xml:space="preserve">Camera đổi chủ (hiện tại)</t>
  </si>
  <si>
    <t xml:space="preserve">Chuyển thừa giữa máy khỏe</t>
  </si>
  <si>
    <t xml:space="preserve">Chuyển thừa / tối thiểu</t>
  </si>
  <si>
    <t xml:space="preserve">w1 sập</t>
  </si>
  <si>
    <t xml:space="preserve">w2 sập</t>
  </si>
  <si>
    <t xml:space="preserve">w3 sập</t>
  </si>
  <si>
    <t xml:space="preserve">w4 sập</t>
  </si>
  <si>
    <t xml:space="preserve">w3 quay lại (3 -&gt; 4 máy)</t>
  </si>
  <si>
    <t xml:space="preserve">Trung bình (4 trường hợp sập)</t>
  </si>
  <si>
    <t xml:space="preserve">Nguồn số liệu: tôi chạy chính hàm calculate_assignment_for_camera_ids của repo (commit 021501d) với 78 camera trong cameras_export_21052026.json, workers w1..w4. Hai cột xanh dương là số nhập tay từ kết quả chạy đó; ID camera thực tế trong DB hiện tại có thể khác.</t>
  </si>
  <si>
    <t xml:space="preserve">Hàng 'w3 quay lại': mức tối thiểu ~19 là số camera mà w3 sẽ nhận lại (xấp xỉ).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</si>
</sst>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%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7" min="6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COUNTIF('Danh sách lỗi'!$B$2:$B$27,A5)</f>
        <v>8</v>
      </c>
      <c r="C5" s="5" t="n">
        <f aca="false">COUNTIFS('Danh sách lỗi'!$B$2:$B$27,$A5,'Danh sách lỗi'!$H$2:$H$27,"Chưa làm")</f>
        <v>8</v>
      </c>
      <c r="D5" s="5" t="n">
        <f aca="false">COUNTIFS('Danh sách lỗi'!$B$2:$B$27,$A5,'Danh sách lỗi'!$H$2:$H$27,"Đang làm")</f>
        <v>0</v>
      </c>
      <c r="E5" s="5" t="n">
        <f aca="false">COUNTIFS('Danh sách lỗi'!$B$2:$B$27,$A5,'Danh sách lỗi'!$H$2:$H$27,"Đã sửa")</f>
        <v>0</v>
      </c>
      <c r="F5" s="5" t="n">
        <f aca="false">COUNTIFS('Danh sách lỗi'!$B$2:$B$27,$A5,'Danh sách lỗi'!$H$2:$H$27,"Đã kiểm tra")</f>
        <v>0</v>
      </c>
      <c r="G5" s="6" t="n">
        <f aca="false">IF(B5=0,0,(E5+F5)/B5)</f>
        <v>0</v>
      </c>
    </row>
    <row r="6" customFormat="false" ht="15" hidden="false" customHeight="false" outlineLevel="0" collapsed="false">
      <c r="A6" s="7" t="s">
        <v>10</v>
      </c>
      <c r="B6" s="5" t="n">
        <f aca="false">COUNTIF('Danh sách lỗi'!$B$2:$B$27,A6)</f>
        <v>8</v>
      </c>
      <c r="C6" s="5" t="n">
        <f aca="false">COUNTIFS('Danh sách lỗi'!$B$2:$B$27,$A6,'Danh sách lỗi'!$H$2:$H$27,"Chưa làm")</f>
        <v>8</v>
      </c>
      <c r="D6" s="5" t="n">
        <f aca="false">COUNTIFS('Danh sách lỗi'!$B$2:$B$27,$A6,'Danh sách lỗi'!$H$2:$H$27,"Đang làm")</f>
        <v>0</v>
      </c>
      <c r="E6" s="5" t="n">
        <f aca="false">COUNTIFS('Danh sách lỗi'!$B$2:$B$27,$A6,'Danh sách lỗi'!$H$2:$H$27,"Đã sửa")</f>
        <v>0</v>
      </c>
      <c r="F6" s="5" t="n">
        <f aca="false">COUNTIFS('Danh sách lỗi'!$B$2:$B$27,$A6,'Danh sách lỗi'!$H$2:$H$27,"Đã kiểm tra")</f>
        <v>0</v>
      </c>
      <c r="G6" s="6" t="n">
        <f aca="false">IF(B6=0,0,(E6+F6)/B6)</f>
        <v>0</v>
      </c>
    </row>
    <row r="7" customFormat="false" ht="15" hidden="false" customHeight="false" outlineLevel="0" collapsed="false">
      <c r="A7" s="8" t="s">
        <v>11</v>
      </c>
      <c r="B7" s="5" t="n">
        <f aca="false">COUNTIF('Danh sách lỗi'!$B$2:$B$27,A7)</f>
        <v>5</v>
      </c>
      <c r="C7" s="5" t="n">
        <f aca="false">COUNTIFS('Danh sách lỗi'!$B$2:$B$27,$A7,'Danh sách lỗi'!$H$2:$H$27,"Chưa làm")</f>
        <v>5</v>
      </c>
      <c r="D7" s="5" t="n">
        <f aca="false">COUNTIFS('Danh sách lỗi'!$B$2:$B$27,$A7,'Danh sách lỗi'!$H$2:$H$27,"Đang làm")</f>
        <v>0</v>
      </c>
      <c r="E7" s="5" t="n">
        <f aca="false">COUNTIFS('Danh sách lỗi'!$B$2:$B$27,$A7,'Danh sách lỗi'!$H$2:$H$27,"Đã sửa")</f>
        <v>0</v>
      </c>
      <c r="F7" s="5" t="n">
        <f aca="false">COUNTIFS('Danh sách lỗi'!$B$2:$B$27,$A7,'Danh sách lỗi'!$H$2:$H$27,"Đã kiểm tra")</f>
        <v>0</v>
      </c>
      <c r="G7" s="6" t="n">
        <f aca="false">IF(B7=0,0,(E7+F7)/B7)</f>
        <v>0</v>
      </c>
    </row>
    <row r="8" customFormat="false" ht="15" hidden="false" customHeight="false" outlineLevel="0" collapsed="false">
      <c r="A8" s="9" t="s">
        <v>12</v>
      </c>
      <c r="B8" s="5" t="n">
        <f aca="false">COUNTIF('Danh sách lỗi'!$B$2:$B$27,A8)</f>
        <v>5</v>
      </c>
      <c r="C8" s="5" t="n">
        <f aca="false">COUNTIFS('Danh sách lỗi'!$B$2:$B$27,$A8,'Danh sách lỗi'!$H$2:$H$27,"Chưa làm")</f>
        <v>5</v>
      </c>
      <c r="D8" s="5" t="n">
        <f aca="false">COUNTIFS('Danh sách lỗi'!$B$2:$B$27,$A8,'Danh sách lỗi'!$H$2:$H$27,"Đang làm")</f>
        <v>0</v>
      </c>
      <c r="E8" s="5" t="n">
        <f aca="false">COUNTIFS('Danh sách lỗi'!$B$2:$B$27,$A8,'Danh sách lỗi'!$H$2:$H$27,"Đã sửa")</f>
        <v>0</v>
      </c>
      <c r="F8" s="5" t="n">
        <f aca="false">COUNTIFS('Danh sách lỗi'!$B$2:$B$27,$A8,'Danh sách lỗi'!$H$2:$H$27,"Đã kiểm tra")</f>
        <v>0</v>
      </c>
      <c r="G8" s="6" t="n">
        <f aca="false">IF(B8=0,0,(E8+F8)/B8)</f>
        <v>0</v>
      </c>
    </row>
    <row r="9" customFormat="false" ht="15" hidden="false" customHeight="false" outlineLevel="0" collapsed="false">
      <c r="A9" s="10" t="s">
        <v>3</v>
      </c>
      <c r="B9" s="10" t="n">
        <f aca="false">SUM(B5:B8)</f>
        <v>26</v>
      </c>
      <c r="C9" s="10" t="n">
        <f aca="false">SUM(C5:C8)</f>
        <v>26</v>
      </c>
      <c r="D9" s="10" t="n">
        <f aca="false">SUM(D5:D8)</f>
        <v>0</v>
      </c>
      <c r="E9" s="10" t="n">
        <f aca="false">SUM(E5:E8)</f>
        <v>0</v>
      </c>
      <c r="F9" s="10" t="n">
        <f aca="false">SUM(F5:F8)</f>
        <v>0</v>
      </c>
      <c r="G9" s="11" t="n">
        <f aca="false">IF(B9=0,0,(E9+F9)/B9)</f>
        <v>0</v>
      </c>
    </row>
    <row r="11" customFormat="false" ht="15" hidden="false" customHeight="false" outlineLevel="0" collapsed="false">
      <c r="A11" s="2" t="s">
        <v>13</v>
      </c>
    </row>
    <row r="12" customFormat="false" ht="15" hidden="false" customHeight="false" outlineLevel="0" collapsed="false">
      <c r="A12" s="12" t="s">
        <v>14</v>
      </c>
      <c r="B12" s="13" t="n">
        <f aca="false">COUNTA('Kiểm tra sau sửa'!$A$2:$A$10)</f>
        <v>9</v>
      </c>
    </row>
    <row r="13" customFormat="false" ht="15" hidden="false" customHeight="false" outlineLevel="0" collapsed="false">
      <c r="A13" s="12" t="s">
        <v>15</v>
      </c>
      <c r="B13" s="13" t="n">
        <f aca="false">COUNTIF('Kiểm tra sau sửa'!$F$2:$F$10,"Đạt")</f>
        <v>0</v>
      </c>
    </row>
    <row r="14" customFormat="false" ht="15" hidden="false" customHeight="false" outlineLevel="0" collapsed="false">
      <c r="A14" s="12" t="s">
        <v>16</v>
      </c>
      <c r="B14" s="13" t="n">
        <f aca="false">COUNTIF('Kiểm tra sau sửa'!$F$2:$F$10,"Không đạt")</f>
        <v>0</v>
      </c>
    </row>
    <row r="16" customFormat="false" ht="15" hidden="false" customHeight="false" outlineLevel="0" collapsed="false">
      <c r="A16" s="2" t="s">
        <v>17</v>
      </c>
    </row>
    <row r="17" customFormat="false" ht="30" hidden="false" customHeight="true" outlineLevel="0" collapsed="false">
      <c r="A17" s="14" t="s">
        <v>18</v>
      </c>
      <c r="B17" s="14"/>
      <c r="C17" s="14"/>
      <c r="D17" s="14"/>
      <c r="E17" s="14"/>
      <c r="F17" s="14"/>
      <c r="G17" s="14"/>
    </row>
    <row r="18" customFormat="false" ht="30" hidden="false" customHeight="true" outlineLevel="0" collapsed="false">
      <c r="A18" s="14" t="s">
        <v>19</v>
      </c>
      <c r="B18" s="14"/>
      <c r="C18" s="14"/>
      <c r="D18" s="14"/>
      <c r="E18" s="14"/>
      <c r="F18" s="14"/>
      <c r="G18" s="14"/>
    </row>
    <row r="19" customFormat="false" ht="30" hidden="false" customHeight="true" outlineLevel="0" collapsed="false">
      <c r="A19" s="14" t="s">
        <v>20</v>
      </c>
      <c r="B19" s="14"/>
      <c r="C19" s="14"/>
      <c r="D19" s="14"/>
      <c r="E19" s="14"/>
      <c r="F19" s="14"/>
      <c r="G19" s="14"/>
    </row>
    <row r="20" customFormat="false" ht="30" hidden="false" customHeight="true" outlineLevel="0" collapsed="false">
      <c r="A20" s="14" t="s">
        <v>21</v>
      </c>
      <c r="B20" s="14"/>
      <c r="C20" s="14"/>
      <c r="D20" s="14"/>
      <c r="E20" s="14"/>
      <c r="F20" s="14"/>
      <c r="G20" s="14"/>
    </row>
  </sheetData>
  <mergeCells count="4">
    <mergeCell ref="A17:G17"/>
    <mergeCell ref="A18:G18"/>
    <mergeCell ref="A19:G1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58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23.85" hidden="false" customHeight="false" outlineLevel="0" collapsed="false">
      <c r="A1" s="3" t="s">
        <v>22</v>
      </c>
      <c r="B1" s="3" t="s">
        <v>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customFormat="false" ht="35.05" hidden="false" customHeight="false" outlineLevel="0" collapsed="false">
      <c r="A2" s="15" t="n">
        <v>1</v>
      </c>
      <c r="B2" s="16" t="s">
        <v>9</v>
      </c>
      <c r="C2" s="17" t="s">
        <v>31</v>
      </c>
      <c r="D2" s="17" t="s">
        <v>32</v>
      </c>
      <c r="E2" s="17" t="s">
        <v>33</v>
      </c>
      <c r="F2" s="17" t="s">
        <v>34</v>
      </c>
      <c r="G2" s="17" t="s">
        <v>35</v>
      </c>
      <c r="H2" s="18" t="s">
        <v>4</v>
      </c>
      <c r="I2" s="18"/>
      <c r="J2" s="18"/>
    </row>
    <row r="3" customFormat="false" ht="35.05" hidden="false" customHeight="false" outlineLevel="0" collapsed="false">
      <c r="A3" s="15" t="n">
        <v>2</v>
      </c>
      <c r="B3" s="16" t="s">
        <v>9</v>
      </c>
      <c r="C3" s="17" t="s">
        <v>31</v>
      </c>
      <c r="D3" s="17" t="s">
        <v>36</v>
      </c>
      <c r="E3" s="17" t="s">
        <v>37</v>
      </c>
      <c r="F3" s="17" t="s">
        <v>38</v>
      </c>
      <c r="G3" s="17" t="s">
        <v>39</v>
      </c>
      <c r="H3" s="18" t="s">
        <v>4</v>
      </c>
      <c r="I3" s="18"/>
      <c r="J3" s="18"/>
    </row>
    <row r="4" customFormat="false" ht="35.05" hidden="false" customHeight="false" outlineLevel="0" collapsed="false">
      <c r="A4" s="15" t="n">
        <v>3</v>
      </c>
      <c r="B4" s="16" t="s">
        <v>9</v>
      </c>
      <c r="C4" s="17" t="s">
        <v>31</v>
      </c>
      <c r="D4" s="17" t="s">
        <v>40</v>
      </c>
      <c r="E4" s="17" t="s">
        <v>41</v>
      </c>
      <c r="F4" s="17" t="s">
        <v>42</v>
      </c>
      <c r="G4" s="17" t="s">
        <v>43</v>
      </c>
      <c r="H4" s="18" t="s">
        <v>4</v>
      </c>
      <c r="I4" s="18"/>
      <c r="J4" s="18"/>
    </row>
    <row r="5" customFormat="false" ht="35.05" hidden="false" customHeight="false" outlineLevel="0" collapsed="false">
      <c r="A5" s="15" t="n">
        <v>4</v>
      </c>
      <c r="B5" s="16" t="s">
        <v>9</v>
      </c>
      <c r="C5" s="17" t="s">
        <v>44</v>
      </c>
      <c r="D5" s="17" t="s">
        <v>45</v>
      </c>
      <c r="E5" s="17" t="s">
        <v>46</v>
      </c>
      <c r="F5" s="17" t="s">
        <v>47</v>
      </c>
      <c r="G5" s="17" t="s">
        <v>43</v>
      </c>
      <c r="H5" s="18" t="s">
        <v>4</v>
      </c>
      <c r="I5" s="18"/>
      <c r="J5" s="18"/>
    </row>
    <row r="6" customFormat="false" ht="23.85" hidden="false" customHeight="false" outlineLevel="0" collapsed="false">
      <c r="A6" s="15" t="n">
        <v>5</v>
      </c>
      <c r="B6" s="16" t="s">
        <v>9</v>
      </c>
      <c r="C6" s="17" t="s">
        <v>44</v>
      </c>
      <c r="D6" s="17" t="s">
        <v>48</v>
      </c>
      <c r="E6" s="17" t="s">
        <v>49</v>
      </c>
      <c r="F6" s="17" t="s">
        <v>50</v>
      </c>
      <c r="G6" s="17" t="s">
        <v>35</v>
      </c>
      <c r="H6" s="18" t="s">
        <v>4</v>
      </c>
      <c r="I6" s="18"/>
      <c r="J6" s="18"/>
    </row>
    <row r="7" customFormat="false" ht="23.85" hidden="false" customHeight="false" outlineLevel="0" collapsed="false">
      <c r="A7" s="15" t="n">
        <v>6</v>
      </c>
      <c r="B7" s="16" t="s">
        <v>9</v>
      </c>
      <c r="C7" s="17" t="s">
        <v>44</v>
      </c>
      <c r="D7" s="17" t="s">
        <v>51</v>
      </c>
      <c r="E7" s="17" t="s">
        <v>52</v>
      </c>
      <c r="F7" s="17" t="s">
        <v>53</v>
      </c>
      <c r="G7" s="17" t="s">
        <v>39</v>
      </c>
      <c r="H7" s="18" t="s">
        <v>4</v>
      </c>
      <c r="I7" s="18"/>
      <c r="J7" s="18"/>
    </row>
    <row r="8" customFormat="false" ht="35.05" hidden="false" customHeight="false" outlineLevel="0" collapsed="false">
      <c r="A8" s="15" t="n">
        <v>7</v>
      </c>
      <c r="B8" s="16" t="s">
        <v>9</v>
      </c>
      <c r="C8" s="17" t="s">
        <v>44</v>
      </c>
      <c r="D8" s="17" t="s">
        <v>54</v>
      </c>
      <c r="E8" s="17" t="s">
        <v>55</v>
      </c>
      <c r="F8" s="17" t="s">
        <v>56</v>
      </c>
      <c r="G8" s="17" t="s">
        <v>43</v>
      </c>
      <c r="H8" s="18" t="s">
        <v>4</v>
      </c>
      <c r="I8" s="18"/>
      <c r="J8" s="18"/>
    </row>
    <row r="9" customFormat="false" ht="23.85" hidden="false" customHeight="false" outlineLevel="0" collapsed="false">
      <c r="A9" s="15" t="n">
        <v>8</v>
      </c>
      <c r="B9" s="16" t="s">
        <v>9</v>
      </c>
      <c r="C9" s="17" t="s">
        <v>44</v>
      </c>
      <c r="D9" s="17" t="s">
        <v>57</v>
      </c>
      <c r="E9" s="17" t="s">
        <v>58</v>
      </c>
      <c r="F9" s="17" t="s">
        <v>59</v>
      </c>
      <c r="G9" s="17" t="s">
        <v>43</v>
      </c>
      <c r="H9" s="18" t="s">
        <v>4</v>
      </c>
      <c r="I9" s="18"/>
      <c r="J9" s="18"/>
    </row>
    <row r="10" customFormat="false" ht="23.85" hidden="false" customHeight="false" outlineLevel="0" collapsed="false">
      <c r="A10" s="15" t="n">
        <v>9</v>
      </c>
      <c r="B10" s="19" t="s">
        <v>10</v>
      </c>
      <c r="C10" s="17" t="s">
        <v>60</v>
      </c>
      <c r="D10" s="17" t="s">
        <v>61</v>
      </c>
      <c r="E10" s="17" t="s">
        <v>62</v>
      </c>
      <c r="F10" s="17" t="s">
        <v>63</v>
      </c>
      <c r="G10" s="17" t="s">
        <v>43</v>
      </c>
      <c r="H10" s="18" t="s">
        <v>4</v>
      </c>
      <c r="I10" s="18"/>
      <c r="J10" s="18"/>
    </row>
    <row r="11" customFormat="false" ht="23.85" hidden="false" customHeight="false" outlineLevel="0" collapsed="false">
      <c r="A11" s="15" t="n">
        <v>10</v>
      </c>
      <c r="B11" s="19" t="s">
        <v>10</v>
      </c>
      <c r="C11" s="17" t="s">
        <v>60</v>
      </c>
      <c r="D11" s="17" t="s">
        <v>64</v>
      </c>
      <c r="E11" s="17" t="s">
        <v>65</v>
      </c>
      <c r="F11" s="17" t="s">
        <v>66</v>
      </c>
      <c r="G11" s="17" t="s">
        <v>43</v>
      </c>
      <c r="H11" s="18" t="s">
        <v>4</v>
      </c>
      <c r="I11" s="18"/>
      <c r="J11" s="18"/>
    </row>
    <row r="12" customFormat="false" ht="23.85" hidden="false" customHeight="false" outlineLevel="0" collapsed="false">
      <c r="A12" s="15" t="n">
        <v>11</v>
      </c>
      <c r="B12" s="19" t="s">
        <v>10</v>
      </c>
      <c r="C12" s="17" t="s">
        <v>60</v>
      </c>
      <c r="D12" s="17" t="s">
        <v>67</v>
      </c>
      <c r="E12" s="17" t="s">
        <v>68</v>
      </c>
      <c r="F12" s="17" t="s">
        <v>69</v>
      </c>
      <c r="G12" s="17" t="s">
        <v>43</v>
      </c>
      <c r="H12" s="18" t="s">
        <v>4</v>
      </c>
      <c r="I12" s="18"/>
      <c r="J12" s="18"/>
    </row>
    <row r="13" customFormat="false" ht="23.85" hidden="false" customHeight="false" outlineLevel="0" collapsed="false">
      <c r="A13" s="15" t="n">
        <v>12</v>
      </c>
      <c r="B13" s="19" t="s">
        <v>10</v>
      </c>
      <c r="C13" s="17" t="s">
        <v>70</v>
      </c>
      <c r="D13" s="17" t="s">
        <v>71</v>
      </c>
      <c r="E13" s="17" t="s">
        <v>72</v>
      </c>
      <c r="F13" s="17" t="s">
        <v>73</v>
      </c>
      <c r="G13" s="17" t="s">
        <v>74</v>
      </c>
      <c r="H13" s="18" t="s">
        <v>4</v>
      </c>
      <c r="I13" s="18"/>
      <c r="J13" s="18"/>
    </row>
    <row r="14" customFormat="false" ht="23.85" hidden="false" customHeight="false" outlineLevel="0" collapsed="false">
      <c r="A14" s="15" t="n">
        <v>13</v>
      </c>
      <c r="B14" s="19" t="s">
        <v>10</v>
      </c>
      <c r="C14" s="17" t="s">
        <v>70</v>
      </c>
      <c r="D14" s="17" t="s">
        <v>75</v>
      </c>
      <c r="E14" s="17" t="s">
        <v>76</v>
      </c>
      <c r="F14" s="17" t="s">
        <v>77</v>
      </c>
      <c r="G14" s="17" t="s">
        <v>43</v>
      </c>
      <c r="H14" s="18" t="s">
        <v>4</v>
      </c>
      <c r="I14" s="18"/>
      <c r="J14" s="18"/>
    </row>
    <row r="15" customFormat="false" ht="35.05" hidden="false" customHeight="false" outlineLevel="0" collapsed="false">
      <c r="A15" s="15" t="n">
        <v>14</v>
      </c>
      <c r="B15" s="19" t="s">
        <v>10</v>
      </c>
      <c r="C15" s="17" t="s">
        <v>78</v>
      </c>
      <c r="D15" s="17" t="s">
        <v>79</v>
      </c>
      <c r="E15" s="17" t="s">
        <v>80</v>
      </c>
      <c r="F15" s="17" t="s">
        <v>81</v>
      </c>
      <c r="G15" s="17" t="s">
        <v>39</v>
      </c>
      <c r="H15" s="18" t="s">
        <v>4</v>
      </c>
      <c r="I15" s="18"/>
      <c r="J15" s="18"/>
    </row>
    <row r="16" customFormat="false" ht="23.85" hidden="false" customHeight="false" outlineLevel="0" collapsed="false">
      <c r="A16" s="15" t="n">
        <v>15</v>
      </c>
      <c r="B16" s="19" t="s">
        <v>10</v>
      </c>
      <c r="C16" s="17" t="s">
        <v>44</v>
      </c>
      <c r="D16" s="17" t="s">
        <v>82</v>
      </c>
      <c r="E16" s="17" t="s">
        <v>83</v>
      </c>
      <c r="F16" s="17" t="s">
        <v>84</v>
      </c>
      <c r="G16" s="17" t="s">
        <v>43</v>
      </c>
      <c r="H16" s="18" t="s">
        <v>4</v>
      </c>
      <c r="I16" s="18"/>
      <c r="J16" s="18"/>
    </row>
    <row r="17" customFormat="false" ht="23.85" hidden="false" customHeight="false" outlineLevel="0" collapsed="false">
      <c r="A17" s="15" t="n">
        <v>16</v>
      </c>
      <c r="B17" s="19" t="s">
        <v>10</v>
      </c>
      <c r="C17" s="17" t="s">
        <v>85</v>
      </c>
      <c r="D17" s="17" t="s">
        <v>86</v>
      </c>
      <c r="E17" s="17" t="s">
        <v>87</v>
      </c>
      <c r="F17" s="17" t="s">
        <v>88</v>
      </c>
      <c r="G17" s="17" t="s">
        <v>43</v>
      </c>
      <c r="H17" s="18" t="s">
        <v>4</v>
      </c>
      <c r="I17" s="18"/>
      <c r="J17" s="18"/>
    </row>
    <row r="18" customFormat="false" ht="23.85" hidden="false" customHeight="false" outlineLevel="0" collapsed="false">
      <c r="A18" s="15" t="n">
        <v>17</v>
      </c>
      <c r="B18" s="20" t="s">
        <v>11</v>
      </c>
      <c r="C18" s="17" t="s">
        <v>89</v>
      </c>
      <c r="D18" s="17" t="s">
        <v>90</v>
      </c>
      <c r="E18" s="17" t="s">
        <v>91</v>
      </c>
      <c r="F18" s="17" t="s">
        <v>92</v>
      </c>
      <c r="G18" s="17" t="s">
        <v>39</v>
      </c>
      <c r="H18" s="18" t="s">
        <v>4</v>
      </c>
      <c r="I18" s="18"/>
      <c r="J18" s="18"/>
    </row>
    <row r="19" customFormat="false" ht="23.85" hidden="false" customHeight="false" outlineLevel="0" collapsed="false">
      <c r="A19" s="15" t="n">
        <v>18</v>
      </c>
      <c r="B19" s="20" t="s">
        <v>11</v>
      </c>
      <c r="C19" s="17" t="s">
        <v>89</v>
      </c>
      <c r="D19" s="17" t="s">
        <v>93</v>
      </c>
      <c r="E19" s="17" t="s">
        <v>94</v>
      </c>
      <c r="F19" s="17" t="s">
        <v>95</v>
      </c>
      <c r="G19" s="17" t="s">
        <v>43</v>
      </c>
      <c r="H19" s="18" t="s">
        <v>4</v>
      </c>
      <c r="I19" s="18"/>
      <c r="J19" s="18"/>
    </row>
    <row r="20" customFormat="false" ht="15" hidden="false" customHeight="false" outlineLevel="0" collapsed="false">
      <c r="A20" s="15" t="n">
        <v>19</v>
      </c>
      <c r="B20" s="20" t="s">
        <v>11</v>
      </c>
      <c r="C20" s="17" t="s">
        <v>89</v>
      </c>
      <c r="D20" s="17" t="s">
        <v>96</v>
      </c>
      <c r="E20" s="17" t="s">
        <v>97</v>
      </c>
      <c r="F20" s="17" t="s">
        <v>98</v>
      </c>
      <c r="G20" s="17" t="s">
        <v>43</v>
      </c>
      <c r="H20" s="18" t="s">
        <v>4</v>
      </c>
      <c r="I20" s="18"/>
      <c r="J20" s="18"/>
    </row>
    <row r="21" customFormat="false" ht="35.05" hidden="false" customHeight="false" outlineLevel="0" collapsed="false">
      <c r="A21" s="15" t="n">
        <v>20</v>
      </c>
      <c r="B21" s="20" t="s">
        <v>11</v>
      </c>
      <c r="C21" s="17" t="s">
        <v>85</v>
      </c>
      <c r="D21" s="17" t="s">
        <v>99</v>
      </c>
      <c r="E21" s="17" t="s">
        <v>100</v>
      </c>
      <c r="F21" s="17" t="s">
        <v>101</v>
      </c>
      <c r="G21" s="17" t="s">
        <v>43</v>
      </c>
      <c r="H21" s="18" t="s">
        <v>4</v>
      </c>
      <c r="I21" s="18"/>
      <c r="J21" s="18"/>
    </row>
    <row r="22" customFormat="false" ht="23.85" hidden="false" customHeight="false" outlineLevel="0" collapsed="false">
      <c r="A22" s="15" t="n">
        <v>21</v>
      </c>
      <c r="B22" s="20" t="s">
        <v>11</v>
      </c>
      <c r="C22" s="17" t="s">
        <v>78</v>
      </c>
      <c r="D22" s="17" t="s">
        <v>102</v>
      </c>
      <c r="E22" s="17" t="s">
        <v>103</v>
      </c>
      <c r="F22" s="17" t="s">
        <v>104</v>
      </c>
      <c r="G22" s="17" t="s">
        <v>39</v>
      </c>
      <c r="H22" s="18" t="s">
        <v>4</v>
      </c>
      <c r="I22" s="18"/>
      <c r="J22" s="18"/>
    </row>
    <row r="23" customFormat="false" ht="23.85" hidden="false" customHeight="false" outlineLevel="0" collapsed="false">
      <c r="A23" s="15" t="n">
        <v>22</v>
      </c>
      <c r="B23" s="21" t="s">
        <v>12</v>
      </c>
      <c r="C23" s="17" t="s">
        <v>105</v>
      </c>
      <c r="D23" s="17" t="s">
        <v>106</v>
      </c>
      <c r="E23" s="17" t="s">
        <v>107</v>
      </c>
      <c r="F23" s="17" t="s">
        <v>108</v>
      </c>
      <c r="G23" s="17" t="s">
        <v>43</v>
      </c>
      <c r="H23" s="18" t="s">
        <v>4</v>
      </c>
      <c r="I23" s="18"/>
      <c r="J23" s="18"/>
    </row>
    <row r="24" customFormat="false" ht="15" hidden="false" customHeight="false" outlineLevel="0" collapsed="false">
      <c r="A24" s="15" t="n">
        <v>23</v>
      </c>
      <c r="B24" s="21" t="s">
        <v>12</v>
      </c>
      <c r="C24" s="17" t="s">
        <v>105</v>
      </c>
      <c r="D24" s="17" t="s">
        <v>109</v>
      </c>
      <c r="E24" s="17" t="s">
        <v>110</v>
      </c>
      <c r="F24" s="17" t="s">
        <v>111</v>
      </c>
      <c r="G24" s="17" t="s">
        <v>43</v>
      </c>
      <c r="H24" s="18" t="s">
        <v>4</v>
      </c>
      <c r="I24" s="18"/>
      <c r="J24" s="18"/>
    </row>
    <row r="25" customFormat="false" ht="23.85" hidden="false" customHeight="false" outlineLevel="0" collapsed="false">
      <c r="A25" s="15" t="n">
        <v>24</v>
      </c>
      <c r="B25" s="21" t="s">
        <v>12</v>
      </c>
      <c r="C25" s="17" t="s">
        <v>105</v>
      </c>
      <c r="D25" s="17" t="s">
        <v>112</v>
      </c>
      <c r="E25" s="17" t="s">
        <v>113</v>
      </c>
      <c r="F25" s="17" t="s">
        <v>114</v>
      </c>
      <c r="G25" s="17" t="s">
        <v>43</v>
      </c>
      <c r="H25" s="18" t="s">
        <v>4</v>
      </c>
      <c r="I25" s="18"/>
      <c r="J25" s="18"/>
    </row>
    <row r="26" customFormat="false" ht="15" hidden="false" customHeight="false" outlineLevel="0" collapsed="false">
      <c r="A26" s="15" t="n">
        <v>25</v>
      </c>
      <c r="B26" s="21" t="s">
        <v>12</v>
      </c>
      <c r="C26" s="17" t="s">
        <v>105</v>
      </c>
      <c r="D26" s="17" t="s">
        <v>115</v>
      </c>
      <c r="E26" s="17" t="s">
        <v>116</v>
      </c>
      <c r="F26" s="17" t="s">
        <v>117</v>
      </c>
      <c r="G26" s="17" t="s">
        <v>43</v>
      </c>
      <c r="H26" s="18" t="s">
        <v>4</v>
      </c>
      <c r="I26" s="18"/>
      <c r="J26" s="18"/>
    </row>
    <row r="27" customFormat="false" ht="15" hidden="false" customHeight="false" outlineLevel="0" collapsed="false">
      <c r="A27" s="15" t="n">
        <v>26</v>
      </c>
      <c r="B27" s="21" t="s">
        <v>12</v>
      </c>
      <c r="C27" s="17" t="s">
        <v>105</v>
      </c>
      <c r="D27" s="17" t="s">
        <v>118</v>
      </c>
      <c r="E27" s="17" t="s">
        <v>119</v>
      </c>
      <c r="F27" s="17" t="s">
        <v>120</v>
      </c>
      <c r="G27" s="17" t="s">
        <v>43</v>
      </c>
      <c r="H27" s="18" t="s">
        <v>4</v>
      </c>
      <c r="I27" s="18"/>
      <c r="J27" s="18"/>
    </row>
  </sheetData>
  <autoFilter ref="A1:J27"/>
  <conditionalFormatting sqref="H2:H27">
    <cfRule type="cellIs" priority="2" operator="equal" aboveAverage="0" equalAverage="0" bottom="0" percent="0" rank="0" text="" dxfId="8">
      <formula>"Đã kiểm tra"</formula>
    </cfRule>
    <cfRule type="cellIs" priority="3" operator="equal" aboveAverage="0" equalAverage="0" bottom="0" percent="0" rank="0" text="" dxfId="9">
      <formula>"Đã sửa"</formula>
    </cfRule>
    <cfRule type="cellIs" priority="4" operator="equal" aboveAverage="0" equalAverage="0" bottom="0" percent="0" rank="0" text="" dxfId="10">
      <formula>"Đang làm"</formula>
    </cfRule>
  </conditionalFormatting>
  <dataValidations count="1">
    <dataValidation allowBlank="false" error="Chọn một trạng thái trong danh sách" errorStyle="stop" operator="between" showDropDown="false" showErrorMessage="false" showInputMessage="false" sqref="H2:H27" type="list">
      <formula1>"Chưa làm,Đang làm,Đã sửa,Đã kiểm tra"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52"/>
    <col collapsed="false" customWidth="true" hidden="false" outlineLevel="0" max="5" min="5" style="0" width="3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</row>
    <row r="2" customFormat="false" ht="23.85" hidden="false" customHeight="false" outlineLevel="0" collapsed="false">
      <c r="A2" s="15" t="s">
        <v>127</v>
      </c>
      <c r="B2" s="15" t="s">
        <v>128</v>
      </c>
      <c r="C2" s="17" t="s">
        <v>129</v>
      </c>
      <c r="D2" s="17" t="s">
        <v>130</v>
      </c>
      <c r="E2" s="18"/>
      <c r="F2" s="22" t="s">
        <v>131</v>
      </c>
    </row>
    <row r="3" customFormat="false" ht="23.85" hidden="false" customHeight="false" outlineLevel="0" collapsed="false">
      <c r="A3" s="15" t="s">
        <v>132</v>
      </c>
      <c r="B3" s="15" t="s">
        <v>133</v>
      </c>
      <c r="C3" s="17" t="s">
        <v>134</v>
      </c>
      <c r="D3" s="17" t="s">
        <v>135</v>
      </c>
      <c r="E3" s="18"/>
      <c r="F3" s="22" t="s">
        <v>131</v>
      </c>
    </row>
    <row r="4" customFormat="false" ht="15" hidden="false" customHeight="false" outlineLevel="0" collapsed="false">
      <c r="A4" s="15" t="s">
        <v>136</v>
      </c>
      <c r="B4" s="15" t="s">
        <v>137</v>
      </c>
      <c r="C4" s="17" t="s">
        <v>138</v>
      </c>
      <c r="D4" s="17" t="s">
        <v>139</v>
      </c>
      <c r="E4" s="18"/>
      <c r="F4" s="22" t="s">
        <v>131</v>
      </c>
    </row>
    <row r="5" customFormat="false" ht="15" hidden="false" customHeight="false" outlineLevel="0" collapsed="false">
      <c r="A5" s="15" t="s">
        <v>140</v>
      </c>
      <c r="B5" s="15" t="s">
        <v>141</v>
      </c>
      <c r="C5" s="17" t="s">
        <v>142</v>
      </c>
      <c r="D5" s="17" t="s">
        <v>143</v>
      </c>
      <c r="E5" s="18"/>
      <c r="F5" s="22" t="s">
        <v>131</v>
      </c>
    </row>
    <row r="6" customFormat="false" ht="15" hidden="false" customHeight="false" outlineLevel="0" collapsed="false">
      <c r="A6" s="15" t="s">
        <v>144</v>
      </c>
      <c r="B6" s="15" t="s">
        <v>145</v>
      </c>
      <c r="C6" s="17" t="s">
        <v>146</v>
      </c>
      <c r="D6" s="17" t="s">
        <v>147</v>
      </c>
      <c r="E6" s="18"/>
      <c r="F6" s="22" t="s">
        <v>131</v>
      </c>
    </row>
    <row r="7" customFormat="false" ht="15" hidden="false" customHeight="false" outlineLevel="0" collapsed="false">
      <c r="A7" s="15" t="s">
        <v>148</v>
      </c>
      <c r="B7" s="15" t="s">
        <v>149</v>
      </c>
      <c r="C7" s="17" t="s">
        <v>150</v>
      </c>
      <c r="D7" s="17" t="s">
        <v>151</v>
      </c>
      <c r="E7" s="18"/>
      <c r="F7" s="22" t="s">
        <v>131</v>
      </c>
    </row>
    <row r="8" customFormat="false" ht="15" hidden="false" customHeight="false" outlineLevel="0" collapsed="false">
      <c r="A8" s="15" t="s">
        <v>152</v>
      </c>
      <c r="B8" s="15" t="s">
        <v>153</v>
      </c>
      <c r="C8" s="17" t="s">
        <v>154</v>
      </c>
      <c r="D8" s="17" t="s">
        <v>155</v>
      </c>
      <c r="E8" s="18"/>
      <c r="F8" s="22" t="s">
        <v>131</v>
      </c>
    </row>
    <row r="9" customFormat="false" ht="23.85" hidden="false" customHeight="false" outlineLevel="0" collapsed="false">
      <c r="A9" s="15" t="s">
        <v>156</v>
      </c>
      <c r="B9" s="15" t="s">
        <v>157</v>
      </c>
      <c r="C9" s="17" t="s">
        <v>158</v>
      </c>
      <c r="D9" s="17" t="s">
        <v>159</v>
      </c>
      <c r="E9" s="18"/>
      <c r="F9" s="22" t="s">
        <v>131</v>
      </c>
    </row>
    <row r="10" customFormat="false" ht="15" hidden="false" customHeight="false" outlineLevel="0" collapsed="false">
      <c r="A10" s="15" t="s">
        <v>160</v>
      </c>
      <c r="B10" s="15" t="s">
        <v>161</v>
      </c>
      <c r="C10" s="17" t="s">
        <v>162</v>
      </c>
      <c r="D10" s="17" t="s">
        <v>163</v>
      </c>
      <c r="E10" s="18"/>
      <c r="F10" s="22" t="s">
        <v>131</v>
      </c>
    </row>
  </sheetData>
  <dataValidations count="1">
    <dataValidation allowBlank="true" errorStyle="stop" operator="between" showDropDown="false" showErrorMessage="false" showInputMessage="false" sqref="F2:F10" type="list">
      <formula1>"Đạt,Không đạt,Chưa chạy"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23" t="s">
        <v>164</v>
      </c>
    </row>
    <row r="3" customFormat="false" ht="45" hidden="false" customHeight="true" outlineLevel="0" collapsed="false">
      <c r="A3" s="3" t="s">
        <v>165</v>
      </c>
      <c r="B3" s="3" t="s">
        <v>166</v>
      </c>
      <c r="C3" s="3" t="s">
        <v>167</v>
      </c>
      <c r="D3" s="3" t="s">
        <v>168</v>
      </c>
      <c r="E3" s="3" t="s">
        <v>169</v>
      </c>
    </row>
    <row r="4" customFormat="false" ht="15" hidden="false" customHeight="false" outlineLevel="0" collapsed="false">
      <c r="A4" s="24" t="s">
        <v>170</v>
      </c>
      <c r="B4" s="25" t="n">
        <v>20</v>
      </c>
      <c r="C4" s="25" t="n">
        <v>41</v>
      </c>
      <c r="D4" s="15" t="n">
        <f aca="false">C4-B4</f>
        <v>21</v>
      </c>
      <c r="E4" s="26" t="n">
        <f aca="false">IF(B4=0,0,D4/B4)</f>
        <v>1.05</v>
      </c>
    </row>
    <row r="5" customFormat="false" ht="15" hidden="false" customHeight="false" outlineLevel="0" collapsed="false">
      <c r="A5" s="24" t="s">
        <v>171</v>
      </c>
      <c r="B5" s="25" t="n">
        <v>20</v>
      </c>
      <c r="C5" s="25" t="n">
        <v>27</v>
      </c>
      <c r="D5" s="15" t="n">
        <f aca="false">C5-B5</f>
        <v>7</v>
      </c>
      <c r="E5" s="26" t="n">
        <f aca="false">IF(B5=0,0,D5/B5)</f>
        <v>0.35</v>
      </c>
    </row>
    <row r="6" customFormat="false" ht="15" hidden="false" customHeight="false" outlineLevel="0" collapsed="false">
      <c r="A6" s="24" t="s">
        <v>172</v>
      </c>
      <c r="B6" s="25" t="n">
        <v>19</v>
      </c>
      <c r="C6" s="25" t="n">
        <v>25</v>
      </c>
      <c r="D6" s="15" t="n">
        <f aca="false">C6-B6</f>
        <v>6</v>
      </c>
      <c r="E6" s="26" t="n">
        <f aca="false">IF(B6=0,0,D6/B6)</f>
        <v>0.315789473684211</v>
      </c>
    </row>
    <row r="7" customFormat="false" ht="15" hidden="false" customHeight="false" outlineLevel="0" collapsed="false">
      <c r="A7" s="24" t="s">
        <v>173</v>
      </c>
      <c r="B7" s="25" t="n">
        <v>19</v>
      </c>
      <c r="C7" s="25" t="n">
        <v>37</v>
      </c>
      <c r="D7" s="15" t="n">
        <f aca="false">C7-B7</f>
        <v>18</v>
      </c>
      <c r="E7" s="26" t="n">
        <f aca="false">IF(B7=0,0,D7/B7)</f>
        <v>0.947368421052632</v>
      </c>
    </row>
    <row r="8" customFormat="false" ht="15" hidden="false" customHeight="false" outlineLevel="0" collapsed="false">
      <c r="A8" s="24" t="s">
        <v>174</v>
      </c>
      <c r="B8" s="25" t="n">
        <v>19</v>
      </c>
      <c r="C8" s="25" t="n">
        <v>25</v>
      </c>
      <c r="D8" s="15" t="n">
        <f aca="false">C8-B8</f>
        <v>6</v>
      </c>
      <c r="E8" s="26" t="n">
        <f aca="false">IF(B8=0,0,D8/B8)</f>
        <v>0.315789473684211</v>
      </c>
    </row>
    <row r="9" customFormat="false" ht="15" hidden="false" customHeight="false" outlineLevel="0" collapsed="false">
      <c r="A9" s="2" t="s">
        <v>175</v>
      </c>
      <c r="D9" s="27" t="n">
        <f aca="false">AVERAGE(D4:D7)</f>
        <v>13</v>
      </c>
      <c r="E9" s="28" t="n">
        <f aca="false">AVERAGE(E4:E7)</f>
        <v>0.665789473684211</v>
      </c>
    </row>
    <row r="11" customFormat="false" ht="45" hidden="false" customHeight="true" outlineLevel="0" collapsed="false">
      <c r="A11" s="14" t="s">
        <v>176</v>
      </c>
      <c r="B11" s="14"/>
      <c r="C11" s="14"/>
      <c r="D11" s="14"/>
      <c r="E11" s="14"/>
    </row>
    <row r="12" customFormat="false" ht="15" hidden="false" customHeight="false" outlineLevel="0" collapsed="false">
      <c r="A12" s="12" t="s">
        <v>177</v>
      </c>
    </row>
  </sheetData>
  <mergeCells count="1"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2026-10-13T10:06:23Z</dcterms:created>
  <dc:creator>openpyxl</dc:creator>
  <dc:description/>
  <dc:language>en-US</dc:language>
  <cp:lastModifiedBy/>
  <dcterms:modified xsi:type="dcterms:W3CDTF">2026-10-13T10:06:23Z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